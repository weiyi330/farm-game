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00"/>
  </bookViews>
  <sheets>
    <sheet name="作物配置" sheetId="1" r:id="rId1"/>
    <sheet name="掉落与星级规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<sst xmlns="http://schemas.openxmlformats.org/spreadsheetml/2006/main" count="278" uniqueCount="182">
  <si>
    <t>作物名称</t>
  </si>
  <si>
    <t>单体图集文件名</t>
  </si>
  <si>
    <t>种子图标坐标(col,row)
待填写</t>
  </si>
  <si>
    <t>季节</t>
  </si>
  <si>
    <t>作物说明</t>
  </si>
  <si>
    <t>收获方式</t>
  </si>
  <si>
    <t>初次生长天数</t>
  </si>
  <si>
    <t>重复收获天数
(0=不重复)</t>
  </si>
  <si>
    <t>种子买价</t>
  </si>
  <si>
    <t>种子卖价</t>
  </si>
  <si>
    <t>作物普通卖价</t>
  </si>
  <si>
    <t>★品质卖价(x1.25)</t>
  </si>
  <si>
    <t>★★品质卖价(x1.5)</t>
  </si>
  <si>
    <t>★★★品质卖价(x2)</t>
  </si>
  <si>
    <t>收获后掉落种子概率</t>
  </si>
  <si>
    <t>额外作物最大数
(0=无额外)</t>
  </si>
  <si>
    <t>备注</t>
  </si>
  <si>
    <t>土豆</t>
  </si>
  <si>
    <t>Crops_Spring_Potato.png</t>
  </si>
  <si>
    <t>0,4</t>
  </si>
  <si>
    <t>春季</t>
  </si>
  <si>
    <t>春季作物，6天收获，偶尔一穴多个</t>
  </si>
  <si>
    <t>一次性收割</t>
  </si>
  <si>
    <t>5%</t>
  </si>
  <si>
    <t>入门作物，额外土豆概率25%</t>
  </si>
  <si>
    <t>防风草</t>
  </si>
  <si>
    <t>Crops_Spring_Parsnip.png</t>
  </si>
  <si>
    <t>0,8</t>
  </si>
  <si>
    <t>春季作物，5天收获，快速收获</t>
  </si>
  <si>
    <t>花椰菜</t>
  </si>
  <si>
    <t>Crops_Spring_Cauliflower.png</t>
  </si>
  <si>
    <t>0,10</t>
  </si>
  <si>
    <t>春季作物，11天收获，最高价值蔬菜</t>
  </si>
  <si>
    <t/>
  </si>
  <si>
    <t>白菜</t>
  </si>
  <si>
    <t>Crops_Spring_Cabbage.png</t>
  </si>
  <si>
    <t>0,9</t>
  </si>
  <si>
    <t>春季作物，8天收获，常见蔬菜，产量稳定</t>
  </si>
  <si>
    <t>胡萝卜</t>
  </si>
  <si>
    <t>Crops_Spring_Carrot.png</t>
  </si>
  <si>
    <t>0,6</t>
  </si>
  <si>
    <t>春季作物，6天收获，鲜甜可口</t>
  </si>
  <si>
    <t>洋葱</t>
  </si>
  <si>
    <t>Crops_Spring_Onion.png</t>
  </si>
  <si>
    <t>0,5</t>
  </si>
  <si>
    <t>春季作物，6天收获，调味必备</t>
  </si>
  <si>
    <t>芦笋</t>
  </si>
  <si>
    <t>Crops_Spring_Asparagus.png</t>
  </si>
  <si>
    <t>0,13</t>
  </si>
  <si>
    <t>春季作物，5天收获，嫩芽可食，重复收割</t>
  </si>
  <si>
    <t>重复收割</t>
  </si>
  <si>
    <t>重复收割间隔4天</t>
  </si>
  <si>
    <t>大米</t>
  </si>
  <si>
    <t>Crops_Spring_Rice.png</t>
  </si>
  <si>
    <t>0,11</t>
  </si>
  <si>
    <t>春季作物，6天收获，主食作物，产量高</t>
  </si>
  <si>
    <t>西兰花</t>
  </si>
  <si>
    <t>Crops_Spring_Broccoli.png</t>
  </si>
  <si>
    <t>0,12</t>
  </si>
  <si>
    <t>春季作物，9天收获，营养丰富</t>
  </si>
  <si>
    <t>草莓</t>
  </si>
  <si>
    <t>Crops_Spring_Strawberry.png</t>
  </si>
  <si>
    <t>0,2</t>
  </si>
  <si>
    <t>春季作物，8天收获，甜美浆果，重复结果</t>
  </si>
  <si>
    <t>蓝莓</t>
  </si>
  <si>
    <t>Crops_Spring_Blueberry.png</t>
  </si>
  <si>
    <t>0,7</t>
  </si>
  <si>
    <t>春季作物，13天收获，收获更多蓝莓</t>
  </si>
  <si>
    <t>每次至少3颗</t>
  </si>
  <si>
    <t>野葱</t>
  </si>
  <si>
    <t>Crops_Spring_Spring Onion.png</t>
  </si>
  <si>
    <t>0,3</t>
  </si>
  <si>
    <t>春季作物，6天收获，野外也能生长</t>
  </si>
  <si>
    <t>10%</t>
  </si>
  <si>
    <t>番茄</t>
  </si>
  <si>
    <t>Crops_Summer_Tomato.png</t>
  </si>
  <si>
    <t>9，4</t>
  </si>
  <si>
    <t>夏季</t>
  </si>
  <si>
    <t>夏季作物，11天收获，常见蔬菜，重复结果</t>
  </si>
  <si>
    <t>浆果</t>
  </si>
  <si>
    <t>Crops_Summer_Blackberry.png</t>
  </si>
  <si>
    <t>9，16</t>
  </si>
  <si>
    <t>夏季作物，13天收获，也许有其他用途</t>
  </si>
  <si>
    <t>西瓜</t>
  </si>
  <si>
    <t>Crops_Summer_Watermelon.png</t>
  </si>
  <si>
    <t>9，11</t>
  </si>
  <si>
    <t>夏季作物，12天收获，巨型水果，夏季最爱</t>
  </si>
  <si>
    <t>甜瓜</t>
  </si>
  <si>
    <t>Crops_Summer_Melon.png</t>
  </si>
  <si>
    <t>9，10</t>
  </si>
  <si>
    <t>夏季作物，11天收获，香甜多汁</t>
  </si>
  <si>
    <t>黄瓜</t>
  </si>
  <si>
    <t>Crops_Summer_Cucumber.png</t>
  </si>
  <si>
    <t>9，12</t>
  </si>
  <si>
    <t>夏季作物，10天收获，清爽蔬菜，重复收割</t>
  </si>
  <si>
    <t>向日葵</t>
  </si>
  <si>
    <t>Crops_Summer_Sunflower.png</t>
  </si>
  <si>
    <t>9，5</t>
  </si>
  <si>
    <t>夏季作物，8天收获，可产出向日葵籽</t>
  </si>
  <si>
    <t>20%</t>
  </si>
  <si>
    <t>额外掉落种子</t>
  </si>
  <si>
    <t>辣椒</t>
  </si>
  <si>
    <t>Crops_Summer_Hot Pepper.png</t>
  </si>
  <si>
    <t>9，6</t>
  </si>
  <si>
    <t>夏季作物，7天收获，辛辣刺激，重复结果</t>
  </si>
  <si>
    <t>彩椒（绿）</t>
  </si>
  <si>
    <t>Crops_Summer_Bell Pepper.png</t>
  </si>
  <si>
    <t>9，7</t>
  </si>
  <si>
    <t>夏季作物，6天收获，多色彩椒</t>
  </si>
  <si>
    <t>彩椒（黄）</t>
  </si>
  <si>
    <t>9，9</t>
  </si>
  <si>
    <t>彩椒（红）</t>
  </si>
  <si>
    <t>9，8</t>
  </si>
  <si>
    <t>豆角</t>
  </si>
  <si>
    <t>Crops_Summer_Green Beans.png</t>
  </si>
  <si>
    <t>9，14</t>
  </si>
  <si>
    <t>夏季作物，10天收获，藤蔓作物，重复结果</t>
  </si>
  <si>
    <t>小豆</t>
  </si>
  <si>
    <t>Crops_Summer_Adzuki Bean.png</t>
  </si>
  <si>
    <t>9，15</t>
  </si>
  <si>
    <t>夏季作物，7天收获，富含营养的豆类</t>
  </si>
  <si>
    <t>菠萝</t>
  </si>
  <si>
    <t>Crops_Summer_Pineapple.png</t>
  </si>
  <si>
    <t>9，13</t>
  </si>
  <si>
    <t>夏季作物，14天收获，热带水果，重复结果</t>
  </si>
  <si>
    <t>小麦</t>
  </si>
  <si>
    <t>Crops_Summer_Wheat.png</t>
  </si>
  <si>
    <t>9，17</t>
  </si>
  <si>
    <t>夏季作物，6天收获，可酿造啤酒</t>
  </si>
  <si>
    <t>40%</t>
  </si>
  <si>
    <t>高概率掉种子</t>
  </si>
  <si>
    <t>玉米</t>
  </si>
  <si>
    <t>Crops_Fall_Corn.png</t>
  </si>
  <si>
    <t>18,4</t>
  </si>
  <si>
    <t>夏/秋季</t>
  </si>
  <si>
    <t>夏/秋季作物，14天收获，夏秋通用，跨季作物</t>
  </si>
  <si>
    <t>夏秋均可种植</t>
  </si>
  <si>
    <t>南瓜</t>
  </si>
  <si>
    <t>Crops_Fall_Pumpkin.png</t>
  </si>
  <si>
    <t>18,2</t>
  </si>
  <si>
    <t>秋季</t>
  </si>
  <si>
    <t>秋季作物，13天收获，万圣节代表蔬菜</t>
  </si>
  <si>
    <t>茄子</t>
  </si>
  <si>
    <t>Crops_Fall_Eggplant.png</t>
  </si>
  <si>
    <t>18,5</t>
  </si>
  <si>
    <t>秋季作物，6天收获，紫色蔬菜，重复结果</t>
  </si>
  <si>
    <t>甜菜</t>
  </si>
  <si>
    <t>Crops_Fall_Beetroot.png</t>
  </si>
  <si>
    <t>18,1</t>
  </si>
  <si>
    <t>秋季作物，6天收获，鲜红根茎蔬菜</t>
  </si>
  <si>
    <t>葡萄</t>
  </si>
  <si>
    <t>Crops_Fall_Grapes.png</t>
  </si>
  <si>
    <t>18,3</t>
  </si>
  <si>
    <t>秋季作物，10天收获，可酿造葡萄酒</t>
  </si>
  <si>
    <t>芦荟</t>
  </si>
  <si>
    <t>Crops_Fall_Aloe.png</t>
  </si>
  <si>
    <t>18,6</t>
  </si>
  <si>
    <t>秋季作物，10天收获，药用植物</t>
  </si>
  <si>
    <t>规则说明</t>
  </si>
  <si>
    <t>详情</t>
  </si>
  <si>
    <t>普通品质</t>
  </si>
  <si>
    <t>基础卖价（x1.0）</t>
  </si>
  <si>
    <t>★ 银星品质</t>
  </si>
  <si>
    <t>卖价 x 1.25，需要农夫等级≥5或施肥</t>
  </si>
  <si>
    <t>★★ 金星品质</t>
  </si>
  <si>
    <t>卖价 x 1.5，需要农夫等级≥10或高级肥料</t>
  </si>
  <si>
    <t>额外作物掉落</t>
  </si>
  <si>
    <t>收获时有概率额外掉落1~N个同类作物（见主表第15列）</t>
  </si>
  <si>
    <t>种子回收</t>
  </si>
  <si>
    <t>收获时有概率掉落种子（见主表第14列），土豆/防风草等均有机会</t>
  </si>
  <si>
    <t>重复收割作物</t>
  </si>
  <si>
    <t>成熟后每隔N天可再次收割，植株不消失（见主表第8列）</t>
  </si>
  <si>
    <t>一次性作物</t>
  </si>
  <si>
    <t>收割后植株消失，需重新种植</t>
  </si>
  <si>
    <t>跨季作物</t>
  </si>
  <si>
    <t>玉米横跨夏/秋两季，其余作物季节结束后枯死</t>
  </si>
  <si>
    <t>额外土豆</t>
  </si>
  <si>
    <t>土豆收获时25%概率额外掉1个土豆（最多+3）</t>
  </si>
  <si>
    <t>小麦种子</t>
  </si>
  <si>
    <t>小麦收获时40%概率额外掉1袋小麦种子</t>
  </si>
  <si>
    <t>向日葵种子</t>
  </si>
  <si>
    <t>向日葵收获时20%概率额外掉1袋向日葵种子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</si>
</sst>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E8A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9" fontId="2" fillId="6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tabSelected="1" zoomScale="141" zoomScaleNormal="141" topLeftCell="A16" workbookViewId="0">
      <selection activeCell="A32" sqref="$A32:$XFD32"/>
    </sheetView>
  </sheetViews>
  <sheetFormatPr defaultColWidth="9" defaultRowHeight="13.5"/>
  <cols>
    <col min="1" max="1" width="12" customWidth="1"/>
    <col min="2" max="2" width="32" customWidth="1"/>
    <col min="3" max="3" width="18" customWidth="1"/>
    <col min="4" max="4" width="8" customWidth="1"/>
    <col min="5" max="5" width="22" customWidth="1"/>
    <col min="6" max="6" width="12" customWidth="1"/>
    <col min="7" max="10" width="10" customWidth="1"/>
    <col min="11" max="16" width="12" customWidth="1"/>
    <col min="17" max="17" width="20" customWidth="1"/>
  </cols>
  <sheetData>
    <row r="1" ht="36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24" spans="1:17">
      <c r="A2" s="4" t="s">
        <v>17</v>
      </c>
      <c r="B2" s="4" t="s">
        <v>18</v>
      </c>
      <c r="C2" s="5" t="s">
        <v>19</v>
      </c>
      <c r="D2" s="4" t="s">
        <v>20</v>
      </c>
      <c r="E2" s="4" t="s">
        <v>21</v>
      </c>
      <c r="F2" s="4" t="s">
        <v>22</v>
      </c>
      <c r="G2" s="6">
        <v>6</v>
      </c>
      <c r="H2" s="6">
        <v>0</v>
      </c>
      <c r="I2" s="6">
        <v>50</v>
      </c>
      <c r="J2" s="6">
        <v>25</v>
      </c>
      <c r="K2" s="6">
        <v>80</v>
      </c>
      <c r="L2" s="6">
        <v>100</v>
      </c>
      <c r="M2" s="6">
        <v>120</v>
      </c>
      <c r="N2" s="6">
        <f>K2*2</f>
        <v>160</v>
      </c>
      <c r="O2" s="6" t="s">
        <v>23</v>
      </c>
      <c r="P2" s="6">
        <v>3</v>
      </c>
      <c r="Q2" s="4" t="s">
        <v>24</v>
      </c>
    </row>
    <row r="3" ht="24" spans="1:17">
      <c r="A3" s="4" t="s">
        <v>25</v>
      </c>
      <c r="B3" s="4" t="s">
        <v>26</v>
      </c>
      <c r="C3" s="5" t="s">
        <v>27</v>
      </c>
      <c r="D3" s="4" t="s">
        <v>20</v>
      </c>
      <c r="E3" s="4" t="s">
        <v>28</v>
      </c>
      <c r="F3" s="4" t="s">
        <v>22</v>
      </c>
      <c r="G3" s="6">
        <v>5</v>
      </c>
      <c r="H3" s="6">
        <v>0</v>
      </c>
      <c r="I3" s="6">
        <v>20</v>
      </c>
      <c r="J3" s="6">
        <v>10</v>
      </c>
      <c r="K3" s="6">
        <v>35</v>
      </c>
      <c r="L3" s="6">
        <v>44</v>
      </c>
      <c r="M3" s="6">
        <v>52</v>
      </c>
      <c r="N3" s="6">
        <f>K3*2</f>
        <v>70</v>
      </c>
      <c r="O3" s="6" t="s">
        <v>23</v>
      </c>
      <c r="P3" s="6">
        <v>1</v>
      </c>
      <c r="Q3" s="4"/>
    </row>
    <row r="4" ht="24" spans="1:17">
      <c r="A4" s="4" t="s">
        <v>29</v>
      </c>
      <c r="B4" s="4" t="s">
        <v>30</v>
      </c>
      <c r="C4" s="5" t="s">
        <v>31</v>
      </c>
      <c r="D4" s="4" t="s">
        <v>20</v>
      </c>
      <c r="E4" s="4" t="s">
        <v>32</v>
      </c>
      <c r="F4" s="4" t="s">
        <v>22</v>
      </c>
      <c r="G4" s="6">
        <v>11</v>
      </c>
      <c r="H4" s="6">
        <v>0</v>
      </c>
      <c r="I4" s="6">
        <v>80</v>
      </c>
      <c r="J4" s="6">
        <v>40</v>
      </c>
      <c r="K4" s="6">
        <v>175</v>
      </c>
      <c r="L4" s="6">
        <v>219</v>
      </c>
      <c r="M4" s="6">
        <v>262</v>
      </c>
      <c r="N4" s="6">
        <f>K4*2</f>
        <v>350</v>
      </c>
      <c r="O4" s="6" t="s">
        <v>23</v>
      </c>
      <c r="P4" s="6">
        <v>1</v>
      </c>
      <c r="Q4" s="4" t="s">
        <v>33</v>
      </c>
    </row>
    <row r="5" ht="24" spans="1:17">
      <c r="A5" s="4" t="s">
        <v>34</v>
      </c>
      <c r="B5" s="4" t="s">
        <v>35</v>
      </c>
      <c r="C5" s="5" t="s">
        <v>36</v>
      </c>
      <c r="D5" s="4" t="s">
        <v>20</v>
      </c>
      <c r="E5" s="4" t="s">
        <v>37</v>
      </c>
      <c r="F5" s="4" t="s">
        <v>22</v>
      </c>
      <c r="G5" s="6">
        <v>8</v>
      </c>
      <c r="H5" s="6">
        <v>0</v>
      </c>
      <c r="I5" s="6">
        <v>50</v>
      </c>
      <c r="J5" s="6">
        <v>25</v>
      </c>
      <c r="K5" s="6">
        <v>100</v>
      </c>
      <c r="L5" s="6">
        <v>125</v>
      </c>
      <c r="M5" s="6">
        <v>150</v>
      </c>
      <c r="N5" s="6">
        <f t="shared" ref="N3:N15" si="0">K5*2</f>
        <v>200</v>
      </c>
      <c r="O5" s="6" t="s">
        <v>23</v>
      </c>
      <c r="P5" s="6">
        <v>1</v>
      </c>
      <c r="Q5" s="4" t="s">
        <v>33</v>
      </c>
    </row>
    <row r="6" ht="24" spans="1:17">
      <c r="A6" s="4" t="s">
        <v>38</v>
      </c>
      <c r="B6" s="4" t="s">
        <v>39</v>
      </c>
      <c r="C6" s="5" t="s">
        <v>40</v>
      </c>
      <c r="D6" s="4" t="s">
        <v>20</v>
      </c>
      <c r="E6" s="4" t="s">
        <v>41</v>
      </c>
      <c r="F6" s="4" t="s">
        <v>22</v>
      </c>
      <c r="G6" s="6">
        <v>6</v>
      </c>
      <c r="H6" s="6">
        <v>0</v>
      </c>
      <c r="I6" s="6">
        <v>30</v>
      </c>
      <c r="J6" s="6">
        <v>15</v>
      </c>
      <c r="K6" s="6">
        <v>50</v>
      </c>
      <c r="L6" s="6">
        <v>62</v>
      </c>
      <c r="M6" s="6">
        <v>75</v>
      </c>
      <c r="N6" s="6">
        <f t="shared" si="0"/>
        <v>100</v>
      </c>
      <c r="O6" s="6" t="s">
        <v>23</v>
      </c>
      <c r="P6" s="6">
        <v>1</v>
      </c>
      <c r="Q6" s="4" t="s">
        <v>33</v>
      </c>
    </row>
    <row r="7" ht="24" spans="1:17">
      <c r="A7" s="4" t="s">
        <v>42</v>
      </c>
      <c r="B7" s="4" t="s">
        <v>43</v>
      </c>
      <c r="C7" s="5" t="s">
        <v>44</v>
      </c>
      <c r="D7" s="4" t="s">
        <v>20</v>
      </c>
      <c r="E7" s="4" t="s">
        <v>45</v>
      </c>
      <c r="F7" s="4" t="s">
        <v>22</v>
      </c>
      <c r="G7" s="6">
        <v>6</v>
      </c>
      <c r="H7" s="6">
        <v>0</v>
      </c>
      <c r="I7" s="6">
        <v>30</v>
      </c>
      <c r="J7" s="6">
        <v>15</v>
      </c>
      <c r="K7" s="6">
        <v>40</v>
      </c>
      <c r="L7" s="6">
        <v>50</v>
      </c>
      <c r="M7" s="6">
        <v>60</v>
      </c>
      <c r="N7" s="6">
        <f t="shared" si="0"/>
        <v>80</v>
      </c>
      <c r="O7" s="6" t="s">
        <v>23</v>
      </c>
      <c r="P7" s="6">
        <v>1</v>
      </c>
      <c r="Q7" s="4" t="s">
        <v>33</v>
      </c>
    </row>
    <row r="8" ht="24" spans="1:17">
      <c r="A8" s="4" t="s">
        <v>46</v>
      </c>
      <c r="B8" s="4" t="s">
        <v>47</v>
      </c>
      <c r="C8" s="5" t="s">
        <v>48</v>
      </c>
      <c r="D8" s="4" t="s">
        <v>20</v>
      </c>
      <c r="E8" s="4" t="s">
        <v>49</v>
      </c>
      <c r="F8" s="4" t="s">
        <v>50</v>
      </c>
      <c r="G8" s="6">
        <v>5</v>
      </c>
      <c r="H8" s="6">
        <v>4</v>
      </c>
      <c r="I8" s="6">
        <v>100</v>
      </c>
      <c r="J8" s="6">
        <v>50</v>
      </c>
      <c r="K8" s="6">
        <v>120</v>
      </c>
      <c r="L8" s="6">
        <v>150</v>
      </c>
      <c r="M8" s="6">
        <v>180</v>
      </c>
      <c r="N8" s="6">
        <f t="shared" si="0"/>
        <v>240</v>
      </c>
      <c r="O8" s="6" t="s">
        <v>23</v>
      </c>
      <c r="P8" s="6">
        <v>1</v>
      </c>
      <c r="Q8" s="4" t="s">
        <v>51</v>
      </c>
    </row>
    <row r="9" ht="24" spans="1:17">
      <c r="A9" s="4" t="s">
        <v>52</v>
      </c>
      <c r="B9" s="4" t="s">
        <v>53</v>
      </c>
      <c r="C9" s="5" t="s">
        <v>54</v>
      </c>
      <c r="D9" s="4" t="s">
        <v>20</v>
      </c>
      <c r="E9" s="4" t="s">
        <v>55</v>
      </c>
      <c r="F9" s="4" t="s">
        <v>22</v>
      </c>
      <c r="G9" s="6">
        <v>6</v>
      </c>
      <c r="H9" s="6">
        <v>0</v>
      </c>
      <c r="I9" s="6">
        <v>40</v>
      </c>
      <c r="J9" s="6">
        <v>20</v>
      </c>
      <c r="K9" s="6">
        <v>60</v>
      </c>
      <c r="L9" s="6">
        <v>75</v>
      </c>
      <c r="M9" s="6">
        <v>90</v>
      </c>
      <c r="N9" s="6">
        <f t="shared" si="0"/>
        <v>120</v>
      </c>
      <c r="O9" s="6" t="s">
        <v>23</v>
      </c>
      <c r="P9" s="6">
        <v>2</v>
      </c>
      <c r="Q9" s="4" t="s">
        <v>33</v>
      </c>
    </row>
    <row r="10" ht="24" spans="1:17">
      <c r="A10" s="4" t="s">
        <v>56</v>
      </c>
      <c r="B10" s="4" t="s">
        <v>57</v>
      </c>
      <c r="C10" s="5" t="s">
        <v>58</v>
      </c>
      <c r="D10" s="4" t="s">
        <v>20</v>
      </c>
      <c r="E10" s="4" t="s">
        <v>59</v>
      </c>
      <c r="F10" s="4" t="s">
        <v>22</v>
      </c>
      <c r="G10" s="6">
        <v>9</v>
      </c>
      <c r="H10" s="6">
        <v>0</v>
      </c>
      <c r="I10" s="6">
        <v>70</v>
      </c>
      <c r="J10" s="6">
        <v>35</v>
      </c>
      <c r="K10" s="6">
        <v>130</v>
      </c>
      <c r="L10" s="6">
        <v>162</v>
      </c>
      <c r="M10" s="6">
        <v>195</v>
      </c>
      <c r="N10" s="6">
        <f t="shared" si="0"/>
        <v>260</v>
      </c>
      <c r="O10" s="6" t="s">
        <v>23</v>
      </c>
      <c r="P10" s="6">
        <v>1</v>
      </c>
      <c r="Q10" s="4" t="s">
        <v>33</v>
      </c>
    </row>
    <row r="11" ht="24" spans="1:17">
      <c r="A11" s="4" t="s">
        <v>60</v>
      </c>
      <c r="B11" s="4" t="s">
        <v>61</v>
      </c>
      <c r="C11" s="5" t="s">
        <v>62</v>
      </c>
      <c r="D11" s="4" t="s">
        <v>20</v>
      </c>
      <c r="E11" s="4" t="s">
        <v>63</v>
      </c>
      <c r="F11" s="4" t="s">
        <v>50</v>
      </c>
      <c r="G11" s="6">
        <v>8</v>
      </c>
      <c r="H11" s="6">
        <v>4</v>
      </c>
      <c r="I11" s="6">
        <v>100</v>
      </c>
      <c r="J11" s="6">
        <v>50</v>
      </c>
      <c r="K11" s="6">
        <v>120</v>
      </c>
      <c r="L11" s="6">
        <v>150</v>
      </c>
      <c r="M11" s="6">
        <v>180</v>
      </c>
      <c r="N11" s="6">
        <f t="shared" si="0"/>
        <v>240</v>
      </c>
      <c r="O11" s="6" t="s">
        <v>23</v>
      </c>
      <c r="P11" s="6">
        <v>1</v>
      </c>
      <c r="Q11" s="4" t="s">
        <v>51</v>
      </c>
    </row>
    <row r="12" ht="24" spans="1:17">
      <c r="A12" s="4" t="s">
        <v>64</v>
      </c>
      <c r="B12" s="4" t="s">
        <v>65</v>
      </c>
      <c r="C12" s="5" t="s">
        <v>66</v>
      </c>
      <c r="D12" s="4" t="s">
        <v>20</v>
      </c>
      <c r="E12" s="4" t="s">
        <v>67</v>
      </c>
      <c r="F12" s="4" t="s">
        <v>50</v>
      </c>
      <c r="G12" s="6">
        <v>13</v>
      </c>
      <c r="H12" s="6">
        <v>4</v>
      </c>
      <c r="I12" s="6">
        <v>80</v>
      </c>
      <c r="J12" s="6">
        <v>40</v>
      </c>
      <c r="K12" s="6">
        <v>150</v>
      </c>
      <c r="L12" s="6">
        <v>188</v>
      </c>
      <c r="M12" s="6">
        <v>225</v>
      </c>
      <c r="N12" s="6">
        <f t="shared" si="0"/>
        <v>300</v>
      </c>
      <c r="O12" s="6" t="s">
        <v>23</v>
      </c>
      <c r="P12" s="6">
        <v>3</v>
      </c>
      <c r="Q12" s="4" t="s">
        <v>68</v>
      </c>
    </row>
    <row r="13" ht="23" customHeight="1" spans="1:17">
      <c r="A13" s="4" t="s">
        <v>69</v>
      </c>
      <c r="B13" s="4" t="s">
        <v>70</v>
      </c>
      <c r="C13" s="5" t="s">
        <v>71</v>
      </c>
      <c r="D13" s="4" t="s">
        <v>20</v>
      </c>
      <c r="E13" s="4" t="s">
        <v>72</v>
      </c>
      <c r="F13" s="4" t="s">
        <v>22</v>
      </c>
      <c r="G13" s="6">
        <v>6</v>
      </c>
      <c r="H13" s="6">
        <v>0</v>
      </c>
      <c r="I13" s="6">
        <v>15</v>
      </c>
      <c r="J13" s="6">
        <v>8</v>
      </c>
      <c r="K13" s="6">
        <v>30</v>
      </c>
      <c r="L13" s="6">
        <v>38</v>
      </c>
      <c r="M13" s="6">
        <v>45</v>
      </c>
      <c r="N13" s="6">
        <f t="shared" si="0"/>
        <v>60</v>
      </c>
      <c r="O13" s="6" t="s">
        <v>73</v>
      </c>
      <c r="P13" s="6">
        <v>1</v>
      </c>
      <c r="Q13" s="4" t="s">
        <v>33</v>
      </c>
    </row>
    <row r="14" ht="24" spans="1:17">
      <c r="A14" s="7" t="s">
        <v>74</v>
      </c>
      <c r="B14" s="7" t="s">
        <v>75</v>
      </c>
      <c r="C14" s="5" t="s">
        <v>76</v>
      </c>
      <c r="D14" s="7" t="s">
        <v>77</v>
      </c>
      <c r="E14" s="7" t="s">
        <v>78</v>
      </c>
      <c r="F14" s="7" t="s">
        <v>50</v>
      </c>
      <c r="G14" s="8">
        <v>11</v>
      </c>
      <c r="H14" s="8">
        <v>4</v>
      </c>
      <c r="I14" s="8">
        <v>50</v>
      </c>
      <c r="J14" s="8">
        <v>25</v>
      </c>
      <c r="K14" s="8">
        <v>60</v>
      </c>
      <c r="L14" s="8">
        <v>75</v>
      </c>
      <c r="M14" s="8">
        <v>90</v>
      </c>
      <c r="N14" s="8">
        <f t="shared" si="0"/>
        <v>120</v>
      </c>
      <c r="O14" s="9">
        <v>0.05</v>
      </c>
      <c r="P14" s="8">
        <v>1</v>
      </c>
      <c r="Q14" s="7" t="s">
        <v>33</v>
      </c>
    </row>
    <row r="15" ht="24" spans="1:17">
      <c r="A15" s="7" t="s">
        <v>79</v>
      </c>
      <c r="B15" s="7" t="s">
        <v>80</v>
      </c>
      <c r="C15" s="5" t="s">
        <v>81</v>
      </c>
      <c r="D15" s="7" t="s">
        <v>77</v>
      </c>
      <c r="E15" s="7" t="s">
        <v>82</v>
      </c>
      <c r="F15" s="7" t="s">
        <v>50</v>
      </c>
      <c r="G15" s="8">
        <v>13</v>
      </c>
      <c r="H15" s="8">
        <v>4</v>
      </c>
      <c r="I15" s="8">
        <v>80</v>
      </c>
      <c r="J15" s="8">
        <v>40</v>
      </c>
      <c r="K15" s="8">
        <v>150</v>
      </c>
      <c r="L15" s="8">
        <v>188</v>
      </c>
      <c r="M15" s="8">
        <v>225</v>
      </c>
      <c r="N15" s="8">
        <f t="shared" si="0"/>
        <v>300</v>
      </c>
      <c r="O15" s="9">
        <v>0.05</v>
      </c>
      <c r="P15" s="8">
        <v>3</v>
      </c>
      <c r="Q15" s="7" t="s">
        <v>33</v>
      </c>
    </row>
    <row r="16" ht="24" spans="1:17">
      <c r="A16" s="7" t="s">
        <v>83</v>
      </c>
      <c r="B16" s="7" t="s">
        <v>84</v>
      </c>
      <c r="C16" s="5" t="s">
        <v>85</v>
      </c>
      <c r="D16" s="7" t="s">
        <v>77</v>
      </c>
      <c r="E16" s="7" t="s">
        <v>86</v>
      </c>
      <c r="F16" s="7" t="s">
        <v>22</v>
      </c>
      <c r="G16" s="8">
        <v>12</v>
      </c>
      <c r="H16" s="8">
        <v>0</v>
      </c>
      <c r="I16" s="8">
        <v>100</v>
      </c>
      <c r="J16" s="8">
        <v>50</v>
      </c>
      <c r="K16" s="8">
        <v>250</v>
      </c>
      <c r="L16" s="8">
        <v>312</v>
      </c>
      <c r="M16" s="8">
        <v>375</v>
      </c>
      <c r="N16" s="8">
        <f t="shared" ref="N15:N33" si="1">K16*2</f>
        <v>500</v>
      </c>
      <c r="O16" s="9">
        <v>0.05</v>
      </c>
      <c r="P16" s="8">
        <v>1</v>
      </c>
      <c r="Q16" s="7" t="s">
        <v>33</v>
      </c>
    </row>
    <row r="17" ht="24" spans="1:17">
      <c r="A17" s="7" t="s">
        <v>87</v>
      </c>
      <c r="B17" s="7" t="s">
        <v>88</v>
      </c>
      <c r="C17" s="5" t="s">
        <v>89</v>
      </c>
      <c r="D17" s="7" t="s">
        <v>77</v>
      </c>
      <c r="E17" s="7" t="s">
        <v>90</v>
      </c>
      <c r="F17" s="7" t="s">
        <v>22</v>
      </c>
      <c r="G17" s="8">
        <v>11</v>
      </c>
      <c r="H17" s="8">
        <v>0</v>
      </c>
      <c r="I17" s="8">
        <v>80</v>
      </c>
      <c r="J17" s="8">
        <v>40</v>
      </c>
      <c r="K17" s="8">
        <v>250</v>
      </c>
      <c r="L17" s="8">
        <v>312</v>
      </c>
      <c r="M17" s="8">
        <v>375</v>
      </c>
      <c r="N17" s="8">
        <f t="shared" si="1"/>
        <v>500</v>
      </c>
      <c r="O17" s="9">
        <v>0.05</v>
      </c>
      <c r="P17" s="8">
        <v>1</v>
      </c>
      <c r="Q17" s="7" t="s">
        <v>33</v>
      </c>
    </row>
    <row r="18" ht="24" spans="1:17">
      <c r="A18" s="7" t="s">
        <v>91</v>
      </c>
      <c r="B18" s="7" t="s">
        <v>92</v>
      </c>
      <c r="C18" s="5" t="s">
        <v>93</v>
      </c>
      <c r="D18" s="7" t="s">
        <v>77</v>
      </c>
      <c r="E18" s="7" t="s">
        <v>94</v>
      </c>
      <c r="F18" s="7" t="s">
        <v>50</v>
      </c>
      <c r="G18" s="8">
        <v>10</v>
      </c>
      <c r="H18" s="8">
        <v>4</v>
      </c>
      <c r="I18" s="8">
        <v>60</v>
      </c>
      <c r="J18" s="8">
        <v>30</v>
      </c>
      <c r="K18" s="8">
        <v>80</v>
      </c>
      <c r="L18" s="8">
        <v>100</v>
      </c>
      <c r="M18" s="8">
        <v>120</v>
      </c>
      <c r="N18" s="8">
        <f t="shared" si="1"/>
        <v>160</v>
      </c>
      <c r="O18" s="9">
        <v>0.05</v>
      </c>
      <c r="P18" s="8">
        <v>1</v>
      </c>
      <c r="Q18" s="7" t="s">
        <v>33</v>
      </c>
    </row>
    <row r="19" ht="24" spans="1:17">
      <c r="A19" s="7" t="s">
        <v>95</v>
      </c>
      <c r="B19" s="7" t="s">
        <v>96</v>
      </c>
      <c r="C19" s="5" t="s">
        <v>97</v>
      </c>
      <c r="D19" s="7" t="s">
        <v>77</v>
      </c>
      <c r="E19" s="7" t="s">
        <v>98</v>
      </c>
      <c r="F19" s="7" t="s">
        <v>22</v>
      </c>
      <c r="G19" s="8">
        <v>8</v>
      </c>
      <c r="H19" s="8">
        <v>0</v>
      </c>
      <c r="I19" s="8">
        <v>200</v>
      </c>
      <c r="J19" s="8">
        <v>100</v>
      </c>
      <c r="K19" s="8">
        <v>80</v>
      </c>
      <c r="L19" s="8">
        <v>100</v>
      </c>
      <c r="M19" s="8">
        <v>120</v>
      </c>
      <c r="N19" s="8">
        <f t="shared" si="1"/>
        <v>160</v>
      </c>
      <c r="O19" s="8" t="s">
        <v>99</v>
      </c>
      <c r="P19" s="8">
        <v>1</v>
      </c>
      <c r="Q19" s="7" t="s">
        <v>100</v>
      </c>
    </row>
    <row r="20" ht="24" spans="1:17">
      <c r="A20" s="7" t="s">
        <v>101</v>
      </c>
      <c r="B20" s="7" t="s">
        <v>102</v>
      </c>
      <c r="C20" s="5" t="s">
        <v>103</v>
      </c>
      <c r="D20" s="7" t="s">
        <v>77</v>
      </c>
      <c r="E20" s="7" t="s">
        <v>104</v>
      </c>
      <c r="F20" s="7" t="s">
        <v>50</v>
      </c>
      <c r="G20" s="8">
        <v>7</v>
      </c>
      <c r="H20" s="8">
        <v>3</v>
      </c>
      <c r="I20" s="8">
        <v>40</v>
      </c>
      <c r="J20" s="8">
        <v>20</v>
      </c>
      <c r="K20" s="8">
        <v>40</v>
      </c>
      <c r="L20" s="8">
        <v>50</v>
      </c>
      <c r="M20" s="8">
        <v>60</v>
      </c>
      <c r="N20" s="8">
        <f t="shared" si="1"/>
        <v>80</v>
      </c>
      <c r="O20" s="9">
        <v>0.05</v>
      </c>
      <c r="P20" s="8">
        <v>1</v>
      </c>
      <c r="Q20" s="7" t="s">
        <v>33</v>
      </c>
    </row>
    <row r="21" ht="24" spans="1:17">
      <c r="A21" s="7" t="s">
        <v>105</v>
      </c>
      <c r="B21" s="7" t="s">
        <v>106</v>
      </c>
      <c r="C21" s="5" t="s">
        <v>107</v>
      </c>
      <c r="D21" s="7" t="s">
        <v>77</v>
      </c>
      <c r="E21" s="7" t="s">
        <v>108</v>
      </c>
      <c r="F21" s="7" t="s">
        <v>50</v>
      </c>
      <c r="G21" s="8">
        <v>6</v>
      </c>
      <c r="H21" s="8">
        <v>3</v>
      </c>
      <c r="I21" s="8">
        <v>40</v>
      </c>
      <c r="J21" s="8">
        <v>20</v>
      </c>
      <c r="K21" s="8">
        <v>40</v>
      </c>
      <c r="L21" s="8">
        <v>50</v>
      </c>
      <c r="M21" s="8">
        <v>60</v>
      </c>
      <c r="N21" s="8">
        <f t="shared" si="1"/>
        <v>80</v>
      </c>
      <c r="O21" s="9">
        <v>0.05</v>
      </c>
      <c r="P21" s="8">
        <v>1</v>
      </c>
      <c r="Q21" s="7" t="s">
        <v>33</v>
      </c>
    </row>
    <row r="22" ht="24" spans="1:17">
      <c r="A22" s="7" t="s">
        <v>109</v>
      </c>
      <c r="B22" s="7" t="s">
        <v>106</v>
      </c>
      <c r="C22" s="5" t="s">
        <v>110</v>
      </c>
      <c r="D22" s="7" t="s">
        <v>77</v>
      </c>
      <c r="E22" s="7" t="s">
        <v>108</v>
      </c>
      <c r="F22" s="7" t="s">
        <v>50</v>
      </c>
      <c r="G22" s="8">
        <v>6</v>
      </c>
      <c r="H22" s="8">
        <v>3</v>
      </c>
      <c r="I22" s="8">
        <v>40</v>
      </c>
      <c r="J22" s="8">
        <v>20</v>
      </c>
      <c r="K22" s="8">
        <v>40</v>
      </c>
      <c r="L22" s="8">
        <v>50</v>
      </c>
      <c r="M22" s="8">
        <v>60</v>
      </c>
      <c r="N22" s="8">
        <f t="shared" si="1"/>
        <v>80</v>
      </c>
      <c r="O22" s="9">
        <v>0.05</v>
      </c>
      <c r="P22" s="8">
        <v>1</v>
      </c>
      <c r="Q22" s="7" t="s">
        <v>33</v>
      </c>
    </row>
    <row r="23" ht="24" spans="1:17">
      <c r="A23" s="7" t="s">
        <v>111</v>
      </c>
      <c r="B23" s="7" t="s">
        <v>106</v>
      </c>
      <c r="C23" s="5" t="s">
        <v>112</v>
      </c>
      <c r="D23" s="7" t="s">
        <v>77</v>
      </c>
      <c r="E23" s="7" t="s">
        <v>108</v>
      </c>
      <c r="F23" s="7" t="s">
        <v>50</v>
      </c>
      <c r="G23" s="8">
        <v>6</v>
      </c>
      <c r="H23" s="8">
        <v>3</v>
      </c>
      <c r="I23" s="8">
        <v>40</v>
      </c>
      <c r="J23" s="8">
        <v>20</v>
      </c>
      <c r="K23" s="8">
        <v>40</v>
      </c>
      <c r="L23" s="8">
        <v>50</v>
      </c>
      <c r="M23" s="8">
        <v>60</v>
      </c>
      <c r="N23" s="8">
        <f t="shared" si="1"/>
        <v>80</v>
      </c>
      <c r="O23" s="9">
        <v>0.05</v>
      </c>
      <c r="P23" s="8">
        <v>1</v>
      </c>
      <c r="Q23" s="7" t="s">
        <v>33</v>
      </c>
    </row>
    <row r="24" ht="24" spans="1:17">
      <c r="A24" s="7" t="s">
        <v>113</v>
      </c>
      <c r="B24" s="7" t="s">
        <v>114</v>
      </c>
      <c r="C24" s="5" t="s">
        <v>115</v>
      </c>
      <c r="D24" s="7" t="s">
        <v>77</v>
      </c>
      <c r="E24" s="7" t="s">
        <v>116</v>
      </c>
      <c r="F24" s="7" t="s">
        <v>50</v>
      </c>
      <c r="G24" s="8">
        <v>10</v>
      </c>
      <c r="H24" s="8">
        <v>3</v>
      </c>
      <c r="I24" s="8">
        <v>60</v>
      </c>
      <c r="J24" s="8">
        <v>30</v>
      </c>
      <c r="K24" s="8">
        <v>40</v>
      </c>
      <c r="L24" s="8">
        <v>50</v>
      </c>
      <c r="M24" s="8">
        <v>60</v>
      </c>
      <c r="N24" s="8">
        <f t="shared" si="1"/>
        <v>80</v>
      </c>
      <c r="O24" s="9">
        <v>0.05</v>
      </c>
      <c r="P24" s="8">
        <v>1</v>
      </c>
      <c r="Q24" s="7" t="s">
        <v>33</v>
      </c>
    </row>
    <row r="25" ht="24" spans="1:17">
      <c r="A25" s="7" t="s">
        <v>117</v>
      </c>
      <c r="B25" s="7" t="s">
        <v>118</v>
      </c>
      <c r="C25" s="5" t="s">
        <v>119</v>
      </c>
      <c r="D25" s="7" t="s">
        <v>77</v>
      </c>
      <c r="E25" s="7" t="s">
        <v>120</v>
      </c>
      <c r="F25" s="7" t="s">
        <v>50</v>
      </c>
      <c r="G25" s="8">
        <v>7</v>
      </c>
      <c r="H25" s="8">
        <v>2</v>
      </c>
      <c r="I25" s="8">
        <v>40</v>
      </c>
      <c r="J25" s="8">
        <v>20</v>
      </c>
      <c r="K25" s="8">
        <v>50</v>
      </c>
      <c r="L25" s="8">
        <v>62</v>
      </c>
      <c r="M25" s="8">
        <v>75</v>
      </c>
      <c r="N25" s="8">
        <f t="shared" si="1"/>
        <v>100</v>
      </c>
      <c r="O25" s="9">
        <v>0.05</v>
      </c>
      <c r="P25" s="8">
        <v>1</v>
      </c>
      <c r="Q25" s="7" t="s">
        <v>33</v>
      </c>
    </row>
    <row r="26" ht="24" spans="1:17">
      <c r="A26" s="7" t="s">
        <v>121</v>
      </c>
      <c r="B26" s="7" t="s">
        <v>122</v>
      </c>
      <c r="C26" s="5" t="s">
        <v>123</v>
      </c>
      <c r="D26" s="7" t="s">
        <v>77</v>
      </c>
      <c r="E26" s="7" t="s">
        <v>124</v>
      </c>
      <c r="F26" s="7" t="s">
        <v>50</v>
      </c>
      <c r="G26" s="8">
        <v>14</v>
      </c>
      <c r="H26" s="8">
        <v>5</v>
      </c>
      <c r="I26" s="8">
        <v>200</v>
      </c>
      <c r="J26" s="8">
        <v>100</v>
      </c>
      <c r="K26" s="8">
        <v>300</v>
      </c>
      <c r="L26" s="8">
        <v>375</v>
      </c>
      <c r="M26" s="8">
        <v>450</v>
      </c>
      <c r="N26" s="8">
        <f t="shared" si="1"/>
        <v>600</v>
      </c>
      <c r="O26" s="9">
        <v>0.05</v>
      </c>
      <c r="P26" s="8">
        <v>1</v>
      </c>
      <c r="Q26" s="7" t="s">
        <v>33</v>
      </c>
    </row>
    <row r="27" ht="24" spans="1:17">
      <c r="A27" s="7" t="s">
        <v>125</v>
      </c>
      <c r="B27" s="7" t="s">
        <v>126</v>
      </c>
      <c r="C27" s="5" t="s">
        <v>127</v>
      </c>
      <c r="D27" s="7" t="s">
        <v>77</v>
      </c>
      <c r="E27" s="7" t="s">
        <v>128</v>
      </c>
      <c r="F27" s="7" t="s">
        <v>22</v>
      </c>
      <c r="G27" s="8">
        <v>6</v>
      </c>
      <c r="H27" s="8">
        <v>0</v>
      </c>
      <c r="I27" s="8">
        <v>10</v>
      </c>
      <c r="J27" s="8">
        <v>5</v>
      </c>
      <c r="K27" s="8">
        <v>25</v>
      </c>
      <c r="L27" s="8">
        <v>31</v>
      </c>
      <c r="M27" s="8">
        <v>38</v>
      </c>
      <c r="N27" s="8">
        <f t="shared" si="1"/>
        <v>50</v>
      </c>
      <c r="O27" s="8" t="s">
        <v>129</v>
      </c>
      <c r="P27" s="8">
        <v>1</v>
      </c>
      <c r="Q27" s="7" t="s">
        <v>130</v>
      </c>
    </row>
    <row r="28" ht="24" spans="1:17">
      <c r="A28" s="10" t="s">
        <v>131</v>
      </c>
      <c r="B28" s="10" t="s">
        <v>132</v>
      </c>
      <c r="C28" s="5" t="s">
        <v>133</v>
      </c>
      <c r="D28" s="10" t="s">
        <v>134</v>
      </c>
      <c r="E28" s="10" t="s">
        <v>135</v>
      </c>
      <c r="F28" s="10" t="s">
        <v>50</v>
      </c>
      <c r="G28" s="11">
        <v>14</v>
      </c>
      <c r="H28" s="11">
        <v>4</v>
      </c>
      <c r="I28" s="11">
        <v>150</v>
      </c>
      <c r="J28" s="11">
        <v>75</v>
      </c>
      <c r="K28" s="11">
        <v>150</v>
      </c>
      <c r="L28" s="11">
        <v>188</v>
      </c>
      <c r="M28" s="11">
        <v>225</v>
      </c>
      <c r="N28" s="11">
        <f t="shared" si="1"/>
        <v>300</v>
      </c>
      <c r="O28" s="12">
        <v>0.05</v>
      </c>
      <c r="P28" s="11">
        <v>1</v>
      </c>
      <c r="Q28" s="10" t="s">
        <v>136</v>
      </c>
    </row>
    <row r="29" ht="24" spans="1:17">
      <c r="A29" s="10" t="s">
        <v>137</v>
      </c>
      <c r="B29" s="10" t="s">
        <v>138</v>
      </c>
      <c r="C29" s="5" t="s">
        <v>139</v>
      </c>
      <c r="D29" s="10" t="s">
        <v>140</v>
      </c>
      <c r="E29" s="10" t="s">
        <v>141</v>
      </c>
      <c r="F29" s="10" t="s">
        <v>22</v>
      </c>
      <c r="G29" s="11">
        <v>13</v>
      </c>
      <c r="H29" s="11">
        <v>0</v>
      </c>
      <c r="I29" s="11">
        <v>100</v>
      </c>
      <c r="J29" s="11">
        <v>50</v>
      </c>
      <c r="K29" s="11">
        <v>320</v>
      </c>
      <c r="L29" s="11">
        <v>400</v>
      </c>
      <c r="M29" s="11">
        <v>480</v>
      </c>
      <c r="N29" s="11">
        <f t="shared" si="1"/>
        <v>640</v>
      </c>
      <c r="O29" s="12">
        <v>0.05</v>
      </c>
      <c r="P29" s="11">
        <v>1</v>
      </c>
      <c r="Q29" s="10" t="s">
        <v>33</v>
      </c>
    </row>
    <row r="30" ht="24" spans="1:17">
      <c r="A30" s="10" t="s">
        <v>142</v>
      </c>
      <c r="B30" s="10" t="s">
        <v>143</v>
      </c>
      <c r="C30" s="5" t="s">
        <v>144</v>
      </c>
      <c r="D30" s="10" t="s">
        <v>140</v>
      </c>
      <c r="E30" s="10" t="s">
        <v>145</v>
      </c>
      <c r="F30" s="10" t="s">
        <v>50</v>
      </c>
      <c r="G30" s="11">
        <v>6</v>
      </c>
      <c r="H30" s="11">
        <v>5</v>
      </c>
      <c r="I30" s="11">
        <v>20</v>
      </c>
      <c r="J30" s="11">
        <v>10</v>
      </c>
      <c r="K30" s="11">
        <v>60</v>
      </c>
      <c r="L30" s="11">
        <v>75</v>
      </c>
      <c r="M30" s="11">
        <v>90</v>
      </c>
      <c r="N30" s="11">
        <f t="shared" si="1"/>
        <v>120</v>
      </c>
      <c r="O30" s="12">
        <v>0.05</v>
      </c>
      <c r="P30" s="11">
        <v>1</v>
      </c>
      <c r="Q30" s="10" t="s">
        <v>33</v>
      </c>
    </row>
    <row r="31" ht="24" spans="1:17">
      <c r="A31" s="10" t="s">
        <v>146</v>
      </c>
      <c r="B31" s="10" t="s">
        <v>147</v>
      </c>
      <c r="C31" s="5" t="s">
        <v>148</v>
      </c>
      <c r="D31" s="10" t="s">
        <v>140</v>
      </c>
      <c r="E31" s="10" t="s">
        <v>149</v>
      </c>
      <c r="F31" s="10" t="s">
        <v>22</v>
      </c>
      <c r="G31" s="11">
        <v>6</v>
      </c>
      <c r="H31" s="11">
        <v>0</v>
      </c>
      <c r="I31" s="11">
        <v>20</v>
      </c>
      <c r="J31" s="11">
        <v>10</v>
      </c>
      <c r="K31" s="11">
        <v>100</v>
      </c>
      <c r="L31" s="11">
        <v>125</v>
      </c>
      <c r="M31" s="11">
        <v>150</v>
      </c>
      <c r="N31" s="11">
        <f t="shared" si="1"/>
        <v>200</v>
      </c>
      <c r="O31" s="12">
        <v>0.05</v>
      </c>
      <c r="P31" s="11">
        <v>1</v>
      </c>
      <c r="Q31" s="10" t="s">
        <v>33</v>
      </c>
    </row>
    <row r="32" ht="24" spans="1:17">
      <c r="A32" s="10" t="s">
        <v>150</v>
      </c>
      <c r="B32" s="10" t="s">
        <v>151</v>
      </c>
      <c r="C32" s="5" t="s">
        <v>152</v>
      </c>
      <c r="D32" s="10" t="s">
        <v>140</v>
      </c>
      <c r="E32" s="10" t="s">
        <v>153</v>
      </c>
      <c r="F32" s="10" t="s">
        <v>50</v>
      </c>
      <c r="G32" s="11">
        <v>10</v>
      </c>
      <c r="H32" s="11">
        <v>3</v>
      </c>
      <c r="I32" s="11">
        <v>60</v>
      </c>
      <c r="J32" s="11">
        <v>30</v>
      </c>
      <c r="K32" s="11">
        <v>80</v>
      </c>
      <c r="L32" s="11">
        <v>100</v>
      </c>
      <c r="M32" s="11">
        <v>120</v>
      </c>
      <c r="N32" s="11">
        <f t="shared" si="1"/>
        <v>160</v>
      </c>
      <c r="O32" s="12">
        <v>0.05</v>
      </c>
      <c r="P32" s="11">
        <v>1</v>
      </c>
      <c r="Q32" s="10" t="s">
        <v>33</v>
      </c>
    </row>
    <row r="33" ht="24" spans="1:17">
      <c r="A33" s="10" t="s">
        <v>154</v>
      </c>
      <c r="B33" s="10" t="s">
        <v>155</v>
      </c>
      <c r="C33" s="5" t="s">
        <v>156</v>
      </c>
      <c r="D33" s="10" t="s">
        <v>140</v>
      </c>
      <c r="E33" s="10" t="s">
        <v>157</v>
      </c>
      <c r="F33" s="10" t="s">
        <v>22</v>
      </c>
      <c r="G33" s="11">
        <v>10</v>
      </c>
      <c r="H33" s="11">
        <v>0</v>
      </c>
      <c r="I33" s="11">
        <v>40</v>
      </c>
      <c r="J33" s="11">
        <v>20</v>
      </c>
      <c r="K33" s="11">
        <v>60</v>
      </c>
      <c r="L33" s="11">
        <v>75</v>
      </c>
      <c r="M33" s="11">
        <v>90</v>
      </c>
      <c r="N33" s="11">
        <f t="shared" si="1"/>
        <v>120</v>
      </c>
      <c r="O33" s="12">
        <v>0.05</v>
      </c>
      <c r="P33" s="11">
        <v>1</v>
      </c>
      <c r="Q33" s="10" t="s">
        <v>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5" customWidth="1"/>
    <col min="2" max="2" width="60" customWidth="1"/>
  </cols>
  <sheetData>
    <row r="1" spans="1:2">
      <c r="A1" s="1" t="s">
        <v>158</v>
      </c>
      <c r="B1" s="1" t="s">
        <v>159</v>
      </c>
    </row>
    <row r="2" spans="1:2">
      <c r="A2" s="2" t="s">
        <v>160</v>
      </c>
      <c r="B2" s="2" t="s">
        <v>161</v>
      </c>
    </row>
    <row r="3" spans="1:2">
      <c r="A3" s="2" t="s">
        <v>162</v>
      </c>
      <c r="B3" s="2" t="s">
        <v>163</v>
      </c>
    </row>
    <row r="4" spans="1:2">
      <c r="A4" s="2" t="s">
        <v>164</v>
      </c>
      <c r="B4" s="2" t="s">
        <v>165</v>
      </c>
    </row>
    <row r="5" spans="1:2">
      <c r="A5" s="2" t="s">
        <v>166</v>
      </c>
      <c r="B5" s="2" t="s">
        <v>167</v>
      </c>
    </row>
    <row r="6" spans="1:2">
      <c r="A6" s="2" t="s">
        <v>168</v>
      </c>
      <c r="B6" s="2" t="s">
        <v>169</v>
      </c>
    </row>
    <row r="7" spans="1:2">
      <c r="A7" s="2" t="s">
        <v>170</v>
      </c>
      <c r="B7" s="2" t="s">
        <v>171</v>
      </c>
    </row>
    <row r="8" spans="1:2">
      <c r="A8" s="2" t="s">
        <v>172</v>
      </c>
      <c r="B8" s="2" t="s">
        <v>173</v>
      </c>
    </row>
    <row r="9" spans="1:2">
      <c r="A9" s="2" t="s">
        <v>174</v>
      </c>
      <c r="B9" s="2" t="s">
        <v>175</v>
      </c>
    </row>
    <row r="10" spans="1:2">
      <c r="A10" s="2" t="s">
        <v>176</v>
      </c>
      <c r="B10" s="2" t="s">
        <v>177</v>
      </c>
    </row>
    <row r="11" spans="1:2">
      <c r="A11" s="2" t="s">
        <v>178</v>
      </c>
      <c r="B11" s="2" t="s">
        <v>179</v>
      </c>
    </row>
    <row r="12" spans="1:2">
      <c r="A12" s="2" t="s">
        <v>180</v>
      </c>
      <c r="B12" s="2" t="s">
        <v>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作物配置</vt:lpstr>
      <vt:lpstr>掉落与星级规则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了如烟雨</cp:lastModifiedBy>
  <dcterms:created xsi:type="dcterms:W3CDTF">2026-06-03T08:30:00Z</dcterms:created>
  <dcterms:modified xsi:type="dcterms:W3CDTF">2026-06-03T10:54:16Z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5DA816F12BE44D8A86B11513370D0CDD_13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